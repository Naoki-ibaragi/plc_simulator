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plc_simulator\"/>
    </mc:Choice>
  </mc:AlternateContent>
  <xr:revisionPtr revIDLastSave="0" documentId="8_{5F4D80E6-15C7-4269-8BA2-BC6158E3DF2B}" xr6:coauthVersionLast="47" xr6:coauthVersionMax="47" xr10:uidLastSave="{00000000-0000-0000-0000-000000000000}"/>
  <bookViews>
    <workbookView xWindow="-28920" yWindow="-120" windowWidth="29040" windowHeight="15720" xr2:uid="{EA11AE07-3367-4CF5-AE6D-7138D67AD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0" i="1" l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10" i="1"/>
  <c r="V21" i="1" a="1"/>
  <c r="V21" i="1" s="1"/>
  <c r="V22" i="1" a="1"/>
  <c r="V22" i="1" s="1"/>
  <c r="V23" i="1" a="1"/>
  <c r="V23" i="1" s="1"/>
  <c r="V24" i="1" a="1"/>
  <c r="V24" i="1" s="1"/>
  <c r="V25" i="1" a="1"/>
  <c r="V25" i="1" s="1"/>
  <c r="V26" i="1" a="1"/>
  <c r="V26" i="1" s="1"/>
  <c r="V27" i="1" a="1"/>
  <c r="V27" i="1" s="1"/>
  <c r="V28" i="1" a="1"/>
  <c r="V28" i="1" s="1"/>
  <c r="V29" i="1" a="1"/>
  <c r="V29" i="1" s="1"/>
  <c r="V30" i="1" a="1"/>
  <c r="V30" i="1" s="1"/>
  <c r="V31" i="1" a="1"/>
  <c r="V31" i="1" s="1"/>
  <c r="V32" i="1" a="1"/>
  <c r="V32" i="1" s="1"/>
  <c r="V33" i="1" a="1"/>
  <c r="V33" i="1" s="1"/>
  <c r="V34" i="1" a="1"/>
  <c r="V34" i="1" s="1"/>
  <c r="V35" i="1" a="1"/>
  <c r="V35" i="1" s="1"/>
  <c r="V36" i="1" a="1"/>
  <c r="V36" i="1" s="1"/>
  <c r="V37" i="1" a="1"/>
  <c r="V37" i="1" s="1"/>
  <c r="V38" i="1" a="1"/>
  <c r="V38" i="1" s="1"/>
  <c r="V39" i="1" a="1"/>
  <c r="V39" i="1" s="1"/>
  <c r="V40" i="1" a="1"/>
  <c r="V40" i="1" s="1"/>
  <c r="V41" i="1" a="1"/>
  <c r="V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<sst xmlns="http://schemas.openxmlformats.org/spreadsheetml/2006/main" count="84" uniqueCount="50">
  <si>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</si>
  <si>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</si>
  <si>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</si>
  <si>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</si>
  <si>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</si>
  <si>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</si>
  <si>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X00</t>
    <phoneticPr fontId="1"/>
  </si>
  <si>
    <t>X10</t>
    <phoneticPr fontId="1"/>
  </si>
  <si>
    <t>Y00</t>
    <phoneticPr fontId="1"/>
  </si>
  <si>
    <t>Y10</t>
    <phoneticPr fontId="1"/>
  </si>
  <si>
    <t>DM0</t>
    <phoneticPr fontId="1"/>
  </si>
  <si>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</si>
  <si>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</si>
  <si>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</si>
  <si>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</si>
  <si>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</si>
  <si>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</si>
  <si>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</si>
  <si>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</si>
  <si>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</si>
  <si>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DM10</t>
  </si>
  <si>
    <t>DM11</t>
  </si>
  <si>
    <t>DM12</t>
  </si>
  <si>
    <t>DM13</t>
  </si>
  <si>
    <t>DM14</t>
  </si>
  <si>
    <t>DM15</t>
  </si>
  <si>
    <t>DM16</t>
  </si>
  <si>
    <t>DM17</t>
  </si>
  <si>
    <t>DM18</t>
  </si>
  <si>
    <t>DM19</t>
  </si>
  <si>
    <t>DM20</t>
  </si>
  <si>
    <t>DM21</t>
  </si>
  <si>
    <t>DM22</t>
  </si>
  <si>
    <t>DM23</t>
  </si>
  <si>
    <t>DM24</t>
  </si>
  <si>
    <t>DM25</t>
  </si>
  <si>
    <t>DM26</t>
  </si>
  <si>
    <t>DM27</t>
  </si>
  <si>
    <t>DM28</t>
  </si>
  <si>
    <t>DM29</t>
  </si>
  <si>
    <t>DM30</t>
  </si>
  <si>
    <t>DM31</t>
  </si>
  <si>
    <t>MR0</t>
    <phoneticPr fontId="1"/>
  </si>
  <si>
    <t>MR1</t>
    <phoneticPr fontId="1"/>
  </si>
  <si>
    <t>入力リレー</t>
    <rPh sb="0" eb="2">
      <t>ニュウリョク</t>
    </rPh>
    <phoneticPr fontId="1"/>
  </si>
  <si>
    <t>出力リレー</t>
    <rPh sb="0" eb="2">
      <t>シュツリョク</t>
    </rPh>
    <phoneticPr fontId="1"/>
  </si>
  <si>
    <t>内部リレー</t>
    <rPh sb="0" eb="2">
      <t>ナイブ</t>
    </rPh>
    <phoneticPr fontId="1"/>
  </si>
  <si>
    <t>データメモリ</t>
    <phoneticPr fontId="1"/>
  </si>
  <si>
    <t>データメモリの値
(符号なし)</t>
    <rPh sb="7" eb="8">
      <t>アタイ</t>
    </rPh>
    <rPh sb="10" eb="12">
      <t>フゴウ</t>
    </rPh>
    <phoneticPr fontId="1"/>
  </si>
  <si>
    <t>データメモリの値
(符号あり)</t>
    <rPh sb="7" eb="8">
      <t>アタイ</t>
    </rPh>
    <rPh sb="10" eb="12">
      <t>フゴウ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</si>
</sst>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1011704</xdr:colOff>
      <xdr:row>7</xdr:row>
      <xdr:rowOff>160059</xdr:rowOff>
    </xdr:from>
    <xdr:to>
      <xdr:col>43</xdr:col>
      <xdr:colOff>160991</xdr:colOff>
      <xdr:row>46</xdr:row>
      <xdr:rowOff>169584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06D9F1E-B774-4BBB-3E1D-43206F086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3822" y="1493559"/>
          <a:ext cx="4478431" cy="7439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9ECD-A996-4AC0-BFD9-0A22D164B9BC}">
  <dimension ref="D3:W41"/>
  <sheetViews>
    <sheetView showGridLines="0" tabSelected="1" zoomScale="85" zoomScaleNormal="85" workbookViewId="0">
      <selection activeCell="D3" sqref="D3:W41"/>
    </sheetView>
  </sheetViews>
  <sheetFormatPr defaultColWidth="2.5" defaultRowHeight="15" customHeight="1" x14ac:dyDescent="0.55000000000000004"/>
  <cols>
    <col min="1" max="3" width="2.58203125" style="1" customWidth="1"/>
    <col min="4" max="4" width="9.33203125" style="1" bestFit="1" customWidth="1"/>
    <col min="5" max="5" width="7" style="1" customWidth="1"/>
    <col min="6" max="21" width="2.58203125" style="1" customWidth="1"/>
    <col min="22" max="23" width="12.83203125" style="1" bestFit="1" customWidth="1"/>
    <col min="24" max="24" width="19.58203125" style="1" customWidth="1"/>
    <col min="25" max="47" width="2.58203125" style="1" customWidth="1"/>
    <col min="48" max="16384" width="2.5" style="1"/>
  </cols>
  <sheetData>
    <row r="3" spans="4:23" ht="30" x14ac:dyDescent="0.55000000000000004">
      <c r="E3" s="3"/>
      <c r="F3" s="3">
        <v>0</v>
      </c>
      <c r="G3" s="3">
        <v>1</v>
      </c>
      <c r="H3" s="3">
        <v>2</v>
      </c>
      <c r="I3" s="3">
        <v>3</v>
      </c>
      <c r="J3" s="3">
        <v>4</v>
      </c>
      <c r="K3" s="3">
        <v>5</v>
      </c>
      <c r="L3" s="3">
        <v>6</v>
      </c>
      <c r="M3" s="3">
        <v>7</v>
      </c>
      <c r="N3" s="3">
        <v>8</v>
      </c>
      <c r="O3" s="3">
        <v>9</v>
      </c>
      <c r="P3" s="3" t="s">
        <v>0</v>
      </c>
      <c r="Q3" s="3" t="s">
        <v>1</v>
      </c>
      <c r="R3" s="3" t="s">
        <v>2</v>
      </c>
      <c r="S3" s="3" t="s">
        <v>3</v>
      </c>
      <c r="T3" s="3" t="s">
        <v>4</v>
      </c>
      <c r="U3" s="3" t="s">
        <v>5</v>
      </c>
      <c r="V3" s="19" t="s">
        <v>48</v>
      </c>
      <c r="W3" s="20" t="s">
        <v>49</v>
      </c>
    </row>
    <row r="4" spans="4:23" ht="15" customHeight="1" x14ac:dyDescent="0.55000000000000004">
      <c r="D4" s="1" t="s">
        <v>44</v>
      </c>
      <c r="E4" s="3" t="s">
        <v>6</v>
      </c>
      <c r="F4" s="5">
        <v>0</v>
      </c>
      <c r="G4" s="7">
        <v>1</v>
      </c>
      <c r="H4" s="12">
        <v>1</v>
      </c>
      <c r="I4" s="11">
        <v>0</v>
      </c>
      <c r="J4" s="2">
        <v>0</v>
      </c>
      <c r="K4" s="2">
        <v>1</v>
      </c>
      <c r="L4" s="2">
        <v>0</v>
      </c>
      <c r="M4" s="2">
        <v>0</v>
      </c>
      <c r="N4" s="2">
        <v>1</v>
      </c>
      <c r="O4" s="2">
        <v>1</v>
      </c>
      <c r="P4" s="2">
        <v>0</v>
      </c>
      <c r="Q4" s="2">
        <v>0</v>
      </c>
      <c r="R4" s="2">
        <v>0</v>
      </c>
      <c r="S4" s="2">
        <v>1</v>
      </c>
      <c r="T4" s="2">
        <v>0</v>
      </c>
      <c r="U4" s="2">
        <v>0</v>
      </c>
      <c r="V4" s="13"/>
      <c r="W4" s="16"/>
    </row>
    <row r="5" spans="4:23" ht="15" customHeight="1" x14ac:dyDescent="0.55000000000000004">
      <c r="D5" s="1" t="s">
        <v>44</v>
      </c>
      <c r="E5" s="3" t="s">
        <v>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1</v>
      </c>
      <c r="R5" s="2">
        <v>0</v>
      </c>
      <c r="S5" s="2">
        <v>1</v>
      </c>
      <c r="T5" s="2">
        <v>0</v>
      </c>
      <c r="U5" s="2">
        <v>0</v>
      </c>
      <c r="V5" s="13"/>
      <c r="W5" s="16"/>
    </row>
    <row r="6" spans="4:23" ht="15" customHeight="1" x14ac:dyDescent="0.55000000000000004">
      <c r="D6" s="1" t="s">
        <v>45</v>
      </c>
      <c r="E6" s="3" t="s">
        <v>8</v>
      </c>
      <c r="F6" s="5">
        <v>1</v>
      </c>
      <c r="G6" s="7">
        <v>0</v>
      </c>
      <c r="H6" s="12">
        <v>1</v>
      </c>
      <c r="I6" s="11">
        <v>0</v>
      </c>
      <c r="J6" s="2">
        <v>1</v>
      </c>
      <c r="K6" s="2">
        <v>0</v>
      </c>
      <c r="L6" s="2">
        <v>0</v>
      </c>
      <c r="M6" s="2">
        <v>1</v>
      </c>
      <c r="N6" s="2">
        <v>1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13"/>
      <c r="W6" s="16"/>
    </row>
    <row r="7" spans="4:23" ht="15" customHeight="1" x14ac:dyDescent="0.55000000000000004">
      <c r="D7" s="1" t="s">
        <v>45</v>
      </c>
      <c r="E7" s="3" t="s">
        <v>9</v>
      </c>
      <c r="F7" s="2">
        <v>0</v>
      </c>
      <c r="G7" s="2">
        <v>1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0</v>
      </c>
      <c r="U7" s="2">
        <v>1</v>
      </c>
      <c r="V7" s="13"/>
      <c r="W7" s="16"/>
    </row>
    <row r="8" spans="4:23" ht="15" customHeight="1" x14ac:dyDescent="0.55000000000000004">
      <c r="D8" s="1" t="s">
        <v>46</v>
      </c>
      <c r="E8" s="3" t="s">
        <v>42</v>
      </c>
      <c r="F8" s="5">
        <v>0</v>
      </c>
      <c r="G8" s="7">
        <v>1</v>
      </c>
      <c r="H8" s="12">
        <v>0</v>
      </c>
      <c r="I8" s="11">
        <v>1</v>
      </c>
      <c r="J8" s="2">
        <v>1</v>
      </c>
      <c r="K8" s="2">
        <v>1</v>
      </c>
      <c r="L8" s="2">
        <v>0</v>
      </c>
      <c r="M8" s="2">
        <v>1</v>
      </c>
      <c r="N8" s="2">
        <v>1</v>
      </c>
      <c r="O8" s="2">
        <v>1</v>
      </c>
      <c r="P8" s="2">
        <v>0</v>
      </c>
      <c r="Q8" s="2">
        <v>1</v>
      </c>
      <c r="R8" s="2">
        <v>1</v>
      </c>
      <c r="S8" s="2">
        <v>1</v>
      </c>
      <c r="T8" s="2">
        <v>0</v>
      </c>
      <c r="U8" s="2">
        <v>0</v>
      </c>
      <c r="V8" s="13"/>
      <c r="W8" s="16"/>
    </row>
    <row r="9" spans="4:23" ht="15" customHeight="1" x14ac:dyDescent="0.55000000000000004">
      <c r="D9" s="1" t="s">
        <v>46</v>
      </c>
      <c r="E9" s="3" t="s">
        <v>43</v>
      </c>
      <c r="F9" s="2">
        <v>1</v>
      </c>
      <c r="G9" s="2">
        <v>1</v>
      </c>
      <c r="H9" s="2">
        <v>0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0</v>
      </c>
      <c r="S9" s="2">
        <v>1</v>
      </c>
      <c r="T9" s="2">
        <v>0</v>
      </c>
      <c r="U9" s="2">
        <v>0</v>
      </c>
      <c r="V9" s="13"/>
      <c r="W9" s="16"/>
    </row>
    <row r="10" spans="4:23" ht="15" customHeight="1" x14ac:dyDescent="0.55000000000000004">
      <c r="D10" s="1" t="s">
        <v>47</v>
      </c>
      <c r="E10" s="4" t="s">
        <v>10</v>
      </c>
      <c r="F10" s="5">
        <v>0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5">
        <v>1</v>
      </c>
      <c r="O10" s="5">
        <v>1</v>
      </c>
      <c r="P10" s="5">
        <v>1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14" cm="1">
        <f t="array" ref="V10">SUMPRODUCT(F10:U10 * 2^(16-_xlfn.SEQUENCE(1,16)))</f>
        <v>2536</v>
      </c>
      <c r="W10" s="17">
        <f>_xlfn.LET(_xlpm.val, _xlfn.DECIMAL(_xlfn.CONCAT(F10:U10), 2), IF(_xlpm.val &gt;= 32768, _xlpm.val - 65536, _xlpm.val))</f>
        <v>2536</v>
      </c>
    </row>
    <row r="11" spans="4:23" ht="15" customHeight="1" x14ac:dyDescent="0.55000000000000004">
      <c r="D11" s="1" t="s">
        <v>47</v>
      </c>
      <c r="E11" s="6" t="s">
        <v>11</v>
      </c>
      <c r="F11" s="7">
        <v>1</v>
      </c>
      <c r="G11" s="7">
        <v>0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14" cm="1">
        <f t="array" ref="V11">SUMPRODUCT(F11:U11 * 2^(16-_xlfn.SEQUENCE(1,16)))</f>
        <v>40960</v>
      </c>
      <c r="W11" s="17">
        <f t="shared" ref="W11:W41" si="0">_xlfn.LET(_xlpm.val, _xlfn.DECIMAL(_xlfn.CONCAT(F11:U11), 2), IF(_xlpm.val &gt;= 32768, _xlpm.val - 65536, _xlpm.val))</f>
        <v>-24576</v>
      </c>
    </row>
    <row r="12" spans="4:23" ht="15" customHeight="1" x14ac:dyDescent="0.55000000000000004">
      <c r="D12" s="1" t="s">
        <v>47</v>
      </c>
      <c r="E12" s="8" t="s">
        <v>12</v>
      </c>
      <c r="F12" s="9">
        <v>0</v>
      </c>
      <c r="G12" s="9">
        <v>1</v>
      </c>
      <c r="H12" s="9">
        <v>0</v>
      </c>
      <c r="I12" s="9">
        <v>1</v>
      </c>
      <c r="J12" s="9">
        <v>1</v>
      </c>
      <c r="K12" s="9">
        <v>0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0</v>
      </c>
      <c r="S12" s="9">
        <v>0</v>
      </c>
      <c r="T12" s="9">
        <v>0</v>
      </c>
      <c r="U12" s="9">
        <v>1</v>
      </c>
      <c r="V12" s="14" cm="1">
        <f t="array" ref="V12">SUMPRODUCT(F12:U12 * 2^(16-_xlfn.SEQUENCE(1,16)))</f>
        <v>23537</v>
      </c>
      <c r="W12" s="17">
        <f t="shared" si="0"/>
        <v>23537</v>
      </c>
    </row>
    <row r="13" spans="4:23" ht="15" customHeight="1" x14ac:dyDescent="0.55000000000000004">
      <c r="D13" s="1" t="s">
        <v>47</v>
      </c>
      <c r="E13" s="10" t="s">
        <v>13</v>
      </c>
      <c r="F13" s="11">
        <v>1</v>
      </c>
      <c r="G13" s="11">
        <v>0</v>
      </c>
      <c r="H13" s="11">
        <v>1</v>
      </c>
      <c r="I13" s="11">
        <v>1</v>
      </c>
      <c r="J13" s="11">
        <v>1</v>
      </c>
      <c r="K13" s="11">
        <v>1</v>
      </c>
      <c r="L13" s="11">
        <v>0</v>
      </c>
      <c r="M13" s="11">
        <v>1</v>
      </c>
      <c r="N13" s="11">
        <v>0</v>
      </c>
      <c r="O13" s="11">
        <v>1</v>
      </c>
      <c r="P13" s="11">
        <v>1</v>
      </c>
      <c r="Q13" s="11">
        <v>0</v>
      </c>
      <c r="R13" s="11">
        <v>0</v>
      </c>
      <c r="S13" s="11">
        <v>1</v>
      </c>
      <c r="T13" s="11">
        <v>1</v>
      </c>
      <c r="U13" s="11">
        <v>1</v>
      </c>
      <c r="V13" s="14" cm="1">
        <f t="array" ref="V13">SUMPRODUCT(F13:U13 * 2^(16-_xlfn.SEQUENCE(1,16)))</f>
        <v>48487</v>
      </c>
      <c r="W13" s="17">
        <f t="shared" si="0"/>
        <v>-17049</v>
      </c>
    </row>
    <row r="14" spans="4:23" ht="15" customHeight="1" x14ac:dyDescent="0.55000000000000004">
      <c r="D14" s="1" t="s">
        <v>47</v>
      </c>
      <c r="E14" s="3" t="s">
        <v>14</v>
      </c>
      <c r="F14" s="2">
        <v>0</v>
      </c>
      <c r="G14" s="2">
        <v>0</v>
      </c>
      <c r="H14" s="2">
        <v>1</v>
      </c>
      <c r="I14" s="2">
        <v>0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0</v>
      </c>
      <c r="V14" s="14" cm="1">
        <f t="array" ref="V14">SUMPRODUCT(F14:U14 * 2^(16-_xlfn.SEQUENCE(1,16)))</f>
        <v>12184</v>
      </c>
      <c r="W14" s="17">
        <f t="shared" si="0"/>
        <v>12184</v>
      </c>
    </row>
    <row r="15" spans="4:23" ht="15" customHeight="1" x14ac:dyDescent="0.55000000000000004">
      <c r="D15" s="1" t="s">
        <v>47</v>
      </c>
      <c r="E15" s="3" t="s">
        <v>15</v>
      </c>
      <c r="F15" s="2">
        <v>1</v>
      </c>
      <c r="G15" s="2">
        <v>1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1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1</v>
      </c>
      <c r="V15" s="14" cm="1">
        <f t="array" ref="V15">SUMPRODUCT(F15:U15 * 2^(16-_xlfn.SEQUENCE(1,16)))</f>
        <v>60293</v>
      </c>
      <c r="W15" s="17">
        <f t="shared" si="0"/>
        <v>-5243</v>
      </c>
    </row>
    <row r="16" spans="4:23" ht="15" customHeight="1" x14ac:dyDescent="0.55000000000000004">
      <c r="D16" s="1" t="s">
        <v>47</v>
      </c>
      <c r="E16" s="3" t="s">
        <v>16</v>
      </c>
      <c r="F16" s="2">
        <v>1</v>
      </c>
      <c r="G16" s="2">
        <v>1</v>
      </c>
      <c r="H16" s="2">
        <v>1</v>
      </c>
      <c r="I16" s="2">
        <v>1</v>
      </c>
      <c r="J16" s="2">
        <v>0</v>
      </c>
      <c r="K16" s="2">
        <v>0</v>
      </c>
      <c r="L16" s="2">
        <v>1</v>
      </c>
      <c r="M16" s="2">
        <v>0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0</v>
      </c>
      <c r="U16" s="2">
        <v>0</v>
      </c>
      <c r="V16" s="14" cm="1">
        <f t="array" ref="V16">SUMPRODUCT(F16:U16 * 2^(16-_xlfn.SEQUENCE(1,16)))</f>
        <v>62204</v>
      </c>
      <c r="W16" s="17">
        <f t="shared" si="0"/>
        <v>-3332</v>
      </c>
    </row>
    <row r="17" spans="4:23" ht="15" customHeight="1" x14ac:dyDescent="0.55000000000000004">
      <c r="D17" s="1" t="s">
        <v>47</v>
      </c>
      <c r="E17" s="3" t="s">
        <v>17</v>
      </c>
      <c r="F17" s="2">
        <v>0</v>
      </c>
      <c r="G17" s="2">
        <v>1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14" cm="1">
        <f t="array" ref="V17">SUMPRODUCT(F17:U17 * 2^(16-_xlfn.SEQUENCE(1,16)))</f>
        <v>18722</v>
      </c>
      <c r="W17" s="17">
        <f t="shared" si="0"/>
        <v>18722</v>
      </c>
    </row>
    <row r="18" spans="4:23" ht="15" customHeight="1" x14ac:dyDescent="0.55000000000000004">
      <c r="D18" s="1" t="s">
        <v>47</v>
      </c>
      <c r="E18" s="3" t="s">
        <v>18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>
        <v>0</v>
      </c>
      <c r="R18" s="2">
        <v>1</v>
      </c>
      <c r="S18" s="2">
        <v>0</v>
      </c>
      <c r="T18" s="2">
        <v>1</v>
      </c>
      <c r="U18" s="2">
        <v>1</v>
      </c>
      <c r="V18" s="14" cm="1">
        <f t="array" ref="V18">SUMPRODUCT(F18:U18 * 2^(16-_xlfn.SEQUENCE(1,16)))</f>
        <v>8363</v>
      </c>
      <c r="W18" s="17">
        <f t="shared" si="0"/>
        <v>8363</v>
      </c>
    </row>
    <row r="19" spans="4:23" ht="15" customHeight="1" x14ac:dyDescent="0.55000000000000004">
      <c r="D19" s="1" t="s">
        <v>47</v>
      </c>
      <c r="E19" s="3" t="s">
        <v>19</v>
      </c>
      <c r="F19" s="2">
        <v>1</v>
      </c>
      <c r="G19" s="2">
        <v>1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1</v>
      </c>
      <c r="P19" s="2">
        <v>1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14" cm="1">
        <f t="array" ref="V19">SUMPRODUCT(F19:U19 * 2^(16-_xlfn.SEQUENCE(1,16)))</f>
        <v>50928</v>
      </c>
      <c r="W19" s="17">
        <f t="shared" si="0"/>
        <v>-14608</v>
      </c>
    </row>
    <row r="20" spans="4:23" ht="15" customHeight="1" x14ac:dyDescent="0.55000000000000004">
      <c r="D20" s="1" t="s">
        <v>47</v>
      </c>
      <c r="E20" s="3" t="s">
        <v>20</v>
      </c>
      <c r="F20" s="2">
        <v>1</v>
      </c>
      <c r="G20" s="2">
        <v>0</v>
      </c>
      <c r="H20" s="2">
        <v>0</v>
      </c>
      <c r="I20" s="2">
        <v>1</v>
      </c>
      <c r="J20" s="2">
        <v>1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14" cm="1">
        <f t="array" ref="V20">SUMPRODUCT(F20:U20 * 2^(16-_xlfn.SEQUENCE(1,16)))</f>
        <v>40036</v>
      </c>
      <c r="W20" s="17">
        <f t="shared" si="0"/>
        <v>-25500</v>
      </c>
    </row>
    <row r="21" spans="4:23" ht="15" customHeight="1" x14ac:dyDescent="0.55000000000000004">
      <c r="D21" s="1" t="s">
        <v>47</v>
      </c>
      <c r="E21" s="3" t="s">
        <v>21</v>
      </c>
      <c r="F21" s="2">
        <v>0</v>
      </c>
      <c r="G21" s="2">
        <v>1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1</v>
      </c>
      <c r="Q21" s="2">
        <v>1</v>
      </c>
      <c r="R21" s="2">
        <v>1</v>
      </c>
      <c r="S21" s="2">
        <v>1</v>
      </c>
      <c r="T21" s="2">
        <v>0</v>
      </c>
      <c r="U21" s="2">
        <v>1</v>
      </c>
      <c r="V21" s="14" cm="1">
        <f t="array" ref="V21">SUMPRODUCT(F21:U21 * 2^(16-_xlfn.SEQUENCE(1,16)))</f>
        <v>18621</v>
      </c>
      <c r="W21" s="17">
        <f t="shared" si="0"/>
        <v>18621</v>
      </c>
    </row>
    <row r="22" spans="4:23" ht="15" customHeight="1" x14ac:dyDescent="0.55000000000000004">
      <c r="D22" s="1" t="s">
        <v>47</v>
      </c>
      <c r="E22" s="3" t="s">
        <v>22</v>
      </c>
      <c r="F22" s="2">
        <v>1</v>
      </c>
      <c r="G22" s="2">
        <v>0</v>
      </c>
      <c r="H22" s="2">
        <v>1</v>
      </c>
      <c r="I22" s="2">
        <v>1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1</v>
      </c>
      <c r="T22" s="2">
        <v>0</v>
      </c>
      <c r="U22" s="2">
        <v>0</v>
      </c>
      <c r="V22" s="14" cm="1">
        <f t="array" ref="V22">SUMPRODUCT(F22:U22 * 2^(16-_xlfn.SEQUENCE(1,16)))</f>
        <v>47124</v>
      </c>
      <c r="W22" s="17">
        <f t="shared" si="0"/>
        <v>-18412</v>
      </c>
    </row>
    <row r="23" spans="4:23" ht="15" customHeight="1" x14ac:dyDescent="0.55000000000000004">
      <c r="D23" s="1" t="s">
        <v>47</v>
      </c>
      <c r="E23" s="3" t="s">
        <v>23</v>
      </c>
      <c r="F23" s="2">
        <v>1</v>
      </c>
      <c r="G23" s="2">
        <v>0</v>
      </c>
      <c r="H23" s="2">
        <v>0</v>
      </c>
      <c r="I23" s="2">
        <v>1</v>
      </c>
      <c r="J23" s="2">
        <v>1</v>
      </c>
      <c r="K23" s="2">
        <v>0</v>
      </c>
      <c r="L23" s="2">
        <v>1</v>
      </c>
      <c r="M23" s="2">
        <v>1</v>
      </c>
      <c r="N23" s="2">
        <v>0</v>
      </c>
      <c r="O23" s="2">
        <v>0</v>
      </c>
      <c r="P23" s="2">
        <v>0</v>
      </c>
      <c r="Q23" s="2">
        <v>1</v>
      </c>
      <c r="R23" s="2">
        <v>0</v>
      </c>
      <c r="S23" s="2">
        <v>1</v>
      </c>
      <c r="T23" s="2">
        <v>1</v>
      </c>
      <c r="U23" s="2">
        <v>1</v>
      </c>
      <c r="V23" s="14" cm="1">
        <f t="array" ref="V23">SUMPRODUCT(F23:U23 * 2^(16-_xlfn.SEQUENCE(1,16)))</f>
        <v>39703</v>
      </c>
      <c r="W23" s="17">
        <f t="shared" si="0"/>
        <v>-25833</v>
      </c>
    </row>
    <row r="24" spans="4:23" ht="15" customHeight="1" x14ac:dyDescent="0.55000000000000004">
      <c r="D24" s="1" t="s">
        <v>47</v>
      </c>
      <c r="E24" s="3" t="s">
        <v>24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0</v>
      </c>
      <c r="M24" s="2">
        <v>0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1</v>
      </c>
      <c r="U24" s="2">
        <v>0</v>
      </c>
      <c r="V24" s="14" cm="1">
        <f t="array" ref="V24">SUMPRODUCT(F24:U24 * 2^(16-_xlfn.SEQUENCE(1,16)))</f>
        <v>64646</v>
      </c>
      <c r="W24" s="17">
        <f t="shared" si="0"/>
        <v>-890</v>
      </c>
    </row>
    <row r="25" spans="4:23" ht="15" customHeight="1" x14ac:dyDescent="0.55000000000000004">
      <c r="D25" s="1" t="s">
        <v>47</v>
      </c>
      <c r="E25" s="3" t="s">
        <v>25</v>
      </c>
      <c r="F25" s="2">
        <v>1</v>
      </c>
      <c r="G25" s="2">
        <v>1</v>
      </c>
      <c r="H25" s="2">
        <v>0</v>
      </c>
      <c r="I25" s="2">
        <v>1</v>
      </c>
      <c r="J25" s="2">
        <v>1</v>
      </c>
      <c r="K25" s="2">
        <v>1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14" cm="1">
        <f t="array" ref="V25">SUMPRODUCT(F25:U25 * 2^(16-_xlfn.SEQUENCE(1,16)))</f>
        <v>56578</v>
      </c>
      <c r="W25" s="17">
        <f t="shared" si="0"/>
        <v>-8958</v>
      </c>
    </row>
    <row r="26" spans="4:23" ht="15" customHeight="1" x14ac:dyDescent="0.55000000000000004">
      <c r="D26" s="1" t="s">
        <v>47</v>
      </c>
      <c r="E26" s="3" t="s">
        <v>26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1</v>
      </c>
      <c r="O26" s="2">
        <v>1</v>
      </c>
      <c r="P26" s="2">
        <v>1</v>
      </c>
      <c r="Q26" s="2">
        <v>0</v>
      </c>
      <c r="R26" s="2">
        <v>0</v>
      </c>
      <c r="S26" s="2">
        <v>1</v>
      </c>
      <c r="T26" s="2">
        <v>0</v>
      </c>
      <c r="U26" s="2">
        <v>1</v>
      </c>
      <c r="V26" s="14" cm="1">
        <f t="array" ref="V26">SUMPRODUCT(F26:U26 * 2^(16-_xlfn.SEQUENCE(1,16)))</f>
        <v>16869</v>
      </c>
      <c r="W26" s="17">
        <f t="shared" si="0"/>
        <v>16869</v>
      </c>
    </row>
    <row r="27" spans="4:23" ht="15" customHeight="1" x14ac:dyDescent="0.55000000000000004">
      <c r="D27" s="1" t="s">
        <v>47</v>
      </c>
      <c r="E27" s="3" t="s">
        <v>27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1</v>
      </c>
      <c r="N27" s="2">
        <v>0</v>
      </c>
      <c r="O27" s="2">
        <v>0</v>
      </c>
      <c r="P27" s="2">
        <v>1</v>
      </c>
      <c r="Q27" s="2">
        <v>1</v>
      </c>
      <c r="R27" s="2">
        <v>1</v>
      </c>
      <c r="S27" s="2">
        <v>1</v>
      </c>
      <c r="T27" s="2">
        <v>0</v>
      </c>
      <c r="U27" s="2">
        <v>1</v>
      </c>
      <c r="V27" s="14" cm="1">
        <f t="array" ref="V27">SUMPRODUCT(F27:U27 * 2^(16-_xlfn.SEQUENCE(1,16)))</f>
        <v>51005</v>
      </c>
      <c r="W27" s="17">
        <f t="shared" si="0"/>
        <v>-14531</v>
      </c>
    </row>
    <row r="28" spans="4:23" ht="15" customHeight="1" x14ac:dyDescent="0.55000000000000004">
      <c r="D28" s="1" t="s">
        <v>47</v>
      </c>
      <c r="E28" s="3" t="s">
        <v>28</v>
      </c>
      <c r="F28" s="2">
        <v>0</v>
      </c>
      <c r="G28" s="2">
        <v>1</v>
      </c>
      <c r="H28" s="2">
        <v>1</v>
      </c>
      <c r="I28" s="2">
        <v>1</v>
      </c>
      <c r="J28" s="2">
        <v>1</v>
      </c>
      <c r="K28" s="2">
        <v>0</v>
      </c>
      <c r="L28" s="2">
        <v>1</v>
      </c>
      <c r="M28" s="2">
        <v>0</v>
      </c>
      <c r="N28" s="2">
        <v>1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  <c r="T28" s="2">
        <v>1</v>
      </c>
      <c r="U28" s="2">
        <v>0</v>
      </c>
      <c r="V28" s="14" cm="1">
        <f t="array" ref="V28">SUMPRODUCT(F28:U28 * 2^(16-_xlfn.SEQUENCE(1,16)))</f>
        <v>31442</v>
      </c>
      <c r="W28" s="17">
        <f t="shared" si="0"/>
        <v>31442</v>
      </c>
    </row>
    <row r="29" spans="4:23" ht="15" customHeight="1" x14ac:dyDescent="0.55000000000000004">
      <c r="D29" s="1" t="s">
        <v>47</v>
      </c>
      <c r="E29" s="3" t="s">
        <v>29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14" cm="1">
        <f t="array" ref="V29">SUMPRODUCT(F29:U29 * 2^(16-_xlfn.SEQUENCE(1,16)))</f>
        <v>4184</v>
      </c>
      <c r="W29" s="17">
        <f t="shared" si="0"/>
        <v>4184</v>
      </c>
    </row>
    <row r="30" spans="4:23" ht="15" customHeight="1" x14ac:dyDescent="0.55000000000000004">
      <c r="D30" s="1" t="s">
        <v>47</v>
      </c>
      <c r="E30" s="3" t="s">
        <v>30</v>
      </c>
      <c r="F30" s="2">
        <v>1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1</v>
      </c>
      <c r="P30" s="2">
        <v>1</v>
      </c>
      <c r="Q30" s="2">
        <v>0</v>
      </c>
      <c r="R30" s="2">
        <v>1</v>
      </c>
      <c r="S30" s="2">
        <v>0</v>
      </c>
      <c r="T30" s="2">
        <v>1</v>
      </c>
      <c r="U30" s="2">
        <v>0</v>
      </c>
      <c r="V30" s="14" cm="1">
        <f t="array" ref="V30">SUMPRODUCT(F30:U30 * 2^(16-_xlfn.SEQUENCE(1,16)))</f>
        <v>41578</v>
      </c>
      <c r="W30" s="17">
        <f t="shared" si="0"/>
        <v>-23958</v>
      </c>
    </row>
    <row r="31" spans="4:23" ht="15" customHeight="1" x14ac:dyDescent="0.55000000000000004">
      <c r="D31" s="1" t="s">
        <v>47</v>
      </c>
      <c r="E31" s="3" t="s">
        <v>31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1</v>
      </c>
      <c r="S31" s="2">
        <v>0</v>
      </c>
      <c r="T31" s="2">
        <v>0</v>
      </c>
      <c r="U31" s="2">
        <v>0</v>
      </c>
      <c r="V31" s="14" cm="1">
        <f t="array" ref="V31">SUMPRODUCT(F31:U31 * 2^(16-_xlfn.SEQUENCE(1,16)))</f>
        <v>17544</v>
      </c>
      <c r="W31" s="17">
        <f t="shared" si="0"/>
        <v>17544</v>
      </c>
    </row>
    <row r="32" spans="4:23" ht="15" customHeight="1" x14ac:dyDescent="0.55000000000000004">
      <c r="D32" s="1" t="s">
        <v>47</v>
      </c>
      <c r="E32" s="3" t="s">
        <v>32</v>
      </c>
      <c r="F32" s="2">
        <v>0</v>
      </c>
      <c r="G32" s="2">
        <v>0</v>
      </c>
      <c r="H32" s="2">
        <v>1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1</v>
      </c>
      <c r="P32" s="2">
        <v>0</v>
      </c>
      <c r="Q32" s="2">
        <v>1</v>
      </c>
      <c r="R32" s="2">
        <v>0</v>
      </c>
      <c r="S32" s="2">
        <v>1</v>
      </c>
      <c r="T32" s="2">
        <v>0</v>
      </c>
      <c r="U32" s="2">
        <v>1</v>
      </c>
      <c r="V32" s="14" cm="1">
        <f t="array" ref="V32">SUMPRODUCT(F32:U32 * 2^(16-_xlfn.SEQUENCE(1,16)))</f>
        <v>11093</v>
      </c>
      <c r="W32" s="17">
        <f t="shared" si="0"/>
        <v>11093</v>
      </c>
    </row>
    <row r="33" spans="4:23" ht="15" customHeight="1" x14ac:dyDescent="0.55000000000000004">
      <c r="D33" s="1" t="s">
        <v>47</v>
      </c>
      <c r="E33" s="3" t="s">
        <v>33</v>
      </c>
      <c r="F33" s="2">
        <v>1</v>
      </c>
      <c r="G33" s="2">
        <v>0</v>
      </c>
      <c r="H33" s="2">
        <v>1</v>
      </c>
      <c r="I33" s="2">
        <v>0</v>
      </c>
      <c r="J33" s="2">
        <v>1</v>
      </c>
      <c r="K33" s="2">
        <v>1</v>
      </c>
      <c r="L33" s="2">
        <v>0</v>
      </c>
      <c r="M33" s="2">
        <v>1</v>
      </c>
      <c r="N33" s="2">
        <v>1</v>
      </c>
      <c r="O33" s="2">
        <v>0</v>
      </c>
      <c r="P33" s="2">
        <v>0</v>
      </c>
      <c r="Q33" s="2">
        <v>0</v>
      </c>
      <c r="R33" s="2">
        <v>1</v>
      </c>
      <c r="S33" s="2">
        <v>0</v>
      </c>
      <c r="T33" s="2">
        <v>0</v>
      </c>
      <c r="U33" s="2">
        <v>1</v>
      </c>
      <c r="V33" s="14" cm="1">
        <f t="array" ref="V33">SUMPRODUCT(F33:U33 * 2^(16-_xlfn.SEQUENCE(1,16)))</f>
        <v>44425</v>
      </c>
      <c r="W33" s="17">
        <f t="shared" si="0"/>
        <v>-21111</v>
      </c>
    </row>
    <row r="34" spans="4:23" ht="15" customHeight="1" x14ac:dyDescent="0.55000000000000004">
      <c r="D34" s="1" t="s">
        <v>47</v>
      </c>
      <c r="E34" s="3" t="s">
        <v>34</v>
      </c>
      <c r="F34" s="2">
        <v>1</v>
      </c>
      <c r="G34" s="2">
        <v>0</v>
      </c>
      <c r="H34" s="2">
        <v>1</v>
      </c>
      <c r="I34" s="2">
        <v>0</v>
      </c>
      <c r="J34" s="2">
        <v>0</v>
      </c>
      <c r="K34" s="2">
        <v>1</v>
      </c>
      <c r="L34" s="2">
        <v>1</v>
      </c>
      <c r="M34" s="2">
        <v>0</v>
      </c>
      <c r="N34" s="2">
        <v>1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1</v>
      </c>
      <c r="V34" s="14" cm="1">
        <f t="array" ref="V34">SUMPRODUCT(F34:U34 * 2^(16-_xlfn.SEQUENCE(1,16)))</f>
        <v>42641</v>
      </c>
      <c r="W34" s="17">
        <f t="shared" si="0"/>
        <v>-22895</v>
      </c>
    </row>
    <row r="35" spans="4:23" ht="15" customHeight="1" x14ac:dyDescent="0.55000000000000004">
      <c r="D35" s="1" t="s">
        <v>47</v>
      </c>
      <c r="E35" s="3" t="s">
        <v>35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1</v>
      </c>
      <c r="S35" s="2">
        <v>1</v>
      </c>
      <c r="T35" s="2">
        <v>0</v>
      </c>
      <c r="U35" s="2">
        <v>0</v>
      </c>
      <c r="V35" s="14" cm="1">
        <f t="array" ref="V35">SUMPRODUCT(F35:U35 * 2^(16-_xlfn.SEQUENCE(1,16)))</f>
        <v>3420</v>
      </c>
      <c r="W35" s="17">
        <f t="shared" si="0"/>
        <v>3420</v>
      </c>
    </row>
    <row r="36" spans="4:23" ht="15" customHeight="1" x14ac:dyDescent="0.55000000000000004">
      <c r="D36" s="1" t="s">
        <v>47</v>
      </c>
      <c r="E36" s="3" t="s">
        <v>36</v>
      </c>
      <c r="F36" s="2">
        <v>1</v>
      </c>
      <c r="G36" s="2">
        <v>0</v>
      </c>
      <c r="H36" s="2">
        <v>0</v>
      </c>
      <c r="I36" s="2">
        <v>1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1</v>
      </c>
      <c r="V36" s="14" cm="1">
        <f t="array" ref="V36">SUMPRODUCT(F36:U36 * 2^(16-_xlfn.SEQUENCE(1,16)))</f>
        <v>37961</v>
      </c>
      <c r="W36" s="17">
        <f t="shared" si="0"/>
        <v>-27575</v>
      </c>
    </row>
    <row r="37" spans="4:23" ht="15" customHeight="1" x14ac:dyDescent="0.55000000000000004">
      <c r="D37" s="1" t="s">
        <v>47</v>
      </c>
      <c r="E37" s="3" t="s">
        <v>37</v>
      </c>
      <c r="F37" s="2">
        <v>1</v>
      </c>
      <c r="G37" s="2">
        <v>1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1</v>
      </c>
      <c r="T37" s="2">
        <v>0</v>
      </c>
      <c r="U37" s="2">
        <v>1</v>
      </c>
      <c r="V37" s="14" cm="1">
        <f t="array" ref="V37">SUMPRODUCT(F37:U37 * 2^(16-_xlfn.SEQUENCE(1,16)))</f>
        <v>58997</v>
      </c>
      <c r="W37" s="17">
        <f t="shared" si="0"/>
        <v>-6539</v>
      </c>
    </row>
    <row r="38" spans="4:23" ht="15" customHeight="1" x14ac:dyDescent="0.55000000000000004">
      <c r="D38" s="1" t="s">
        <v>47</v>
      </c>
      <c r="E38" s="3" t="s">
        <v>38</v>
      </c>
      <c r="F38" s="2">
        <v>0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0</v>
      </c>
      <c r="M38" s="2">
        <v>1</v>
      </c>
      <c r="N38" s="2">
        <v>0</v>
      </c>
      <c r="O38" s="2">
        <v>1</v>
      </c>
      <c r="P38" s="2">
        <v>0</v>
      </c>
      <c r="Q38" s="2">
        <v>1</v>
      </c>
      <c r="R38" s="2">
        <v>0</v>
      </c>
      <c r="S38" s="2">
        <v>1</v>
      </c>
      <c r="T38" s="2">
        <v>1</v>
      </c>
      <c r="U38" s="2">
        <v>0</v>
      </c>
      <c r="V38" s="14" cm="1">
        <f t="array" ref="V38">SUMPRODUCT(F38:U38 * 2^(16-_xlfn.SEQUENCE(1,16)))</f>
        <v>32086</v>
      </c>
      <c r="W38" s="17">
        <f t="shared" si="0"/>
        <v>32086</v>
      </c>
    </row>
    <row r="39" spans="4:23" ht="15" customHeight="1" x14ac:dyDescent="0.55000000000000004">
      <c r="D39" s="1" t="s">
        <v>47</v>
      </c>
      <c r="E39" s="3" t="s">
        <v>39</v>
      </c>
      <c r="F39" s="2">
        <v>1</v>
      </c>
      <c r="G39" s="2">
        <v>1</v>
      </c>
      <c r="H39" s="2">
        <v>0</v>
      </c>
      <c r="I39" s="2">
        <v>0</v>
      </c>
      <c r="J39" s="2">
        <v>1</v>
      </c>
      <c r="K39" s="2">
        <v>1</v>
      </c>
      <c r="L39" s="2">
        <v>0</v>
      </c>
      <c r="M39" s="2">
        <v>0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0</v>
      </c>
      <c r="U39" s="2">
        <v>0</v>
      </c>
      <c r="V39" s="14" cm="1">
        <f t="array" ref="V39">SUMPRODUCT(F39:U39 * 2^(16-_xlfn.SEQUENCE(1,16)))</f>
        <v>52476</v>
      </c>
      <c r="W39" s="17">
        <f t="shared" si="0"/>
        <v>-13060</v>
      </c>
    </row>
    <row r="40" spans="4:23" ht="15" customHeight="1" x14ac:dyDescent="0.55000000000000004">
      <c r="D40" s="1" t="s">
        <v>47</v>
      </c>
      <c r="E40" s="3" t="s">
        <v>40</v>
      </c>
      <c r="F40" s="2">
        <v>1</v>
      </c>
      <c r="G40" s="2">
        <v>1</v>
      </c>
      <c r="H40" s="2">
        <v>1</v>
      </c>
      <c r="I40" s="2">
        <v>0</v>
      </c>
      <c r="J40" s="2">
        <v>1</v>
      </c>
      <c r="K40" s="2">
        <v>0</v>
      </c>
      <c r="L40" s="2">
        <v>0</v>
      </c>
      <c r="M40" s="2">
        <v>1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14" cm="1">
        <f t="array" ref="V40">SUMPRODUCT(F40:U40 * 2^(16-_xlfn.SEQUENCE(1,16)))</f>
        <v>59777</v>
      </c>
      <c r="W40" s="17">
        <f t="shared" si="0"/>
        <v>-5759</v>
      </c>
    </row>
    <row r="41" spans="4:23" ht="15" customHeight="1" x14ac:dyDescent="0.55000000000000004">
      <c r="D41" s="1" t="s">
        <v>47</v>
      </c>
      <c r="E41" s="3" t="s">
        <v>41</v>
      </c>
      <c r="F41" s="2">
        <v>0</v>
      </c>
      <c r="G41" s="2">
        <v>1</v>
      </c>
      <c r="H41" s="2">
        <v>0</v>
      </c>
      <c r="I41" s="2">
        <v>1</v>
      </c>
      <c r="J41" s="2">
        <v>1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1</v>
      </c>
      <c r="T41" s="2">
        <v>0</v>
      </c>
      <c r="U41" s="2">
        <v>1</v>
      </c>
      <c r="V41" s="15" cm="1">
        <f t="array" ref="V41">SUMPRODUCT(F41:U41 * 2^(16-_xlfn.SEQUENCE(1,16)))</f>
        <v>22797</v>
      </c>
      <c r="W41" s="18">
        <f t="shared" si="0"/>
        <v>22797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直己 高橋</dc:creator>
  <cp:lastModifiedBy>直己 高橋</cp:lastModifiedBy>
  <dcterms:created xsi:type="dcterms:W3CDTF">2026-08-23T02:35:33Z</dcterms:created>
  <dcterms:modified xsi:type="dcterms:W3CDTF">2026-08-23T13:47:03Z</dcterms:modified>
</cp:coreProperties>
</file>